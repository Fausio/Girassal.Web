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303"/>
  <workbookPr filterPrivacy="1" codeName="ThisWorkbook"/>
  <bookViews>
    <workbookView xWindow="0" yWindow="0" windowWidth="0" windowHeight="0"/>
  </bookViews>
  <sheets>
    <sheet name="Fatura" sheetId="1" r:id="rId1"/>
    <sheet name="Definições" sheetId="2" r:id="rId2"/>
  </sheets>
  <definedNames>
    <definedName name="bCidadeComprador">Definições!$G$8="ATIVAR"</definedName>
    <definedName name="bCidadeVendedor">Definições!$G$13="ATIVAR"</definedName>
    <definedName name="bEndereçoComprador">Definições!$G$7="ATIVAR"</definedName>
    <definedName name="bEndereçoVendedor">Definições!$G$12="ATIVAR"</definedName>
    <definedName name="bEnviadoPor">Definições!$G$18="ATIVAR"</definedName>
    <definedName name="bFaxComprador">Definições!$G$10="ATIVAR"</definedName>
    <definedName name="bFaxVendedor">Definições!$G$15="ATIVAR"</definedName>
    <definedName name="bFOBIncoterm">Definições!$G$20="ATIVAR"</definedName>
    <definedName name="bNomeComprador">Definições!$G$6="ATIVAR"</definedName>
    <definedName name="bNomeVendedor">Definições!$G$11="ATIVAR"</definedName>
    <definedName name="bNúmeroNotaEncomenda">Definições!$G$16="ATIVAR"</definedName>
    <definedName name="bNúmPacotes">Definições!$G$21="ATIVAR"</definedName>
    <definedName name="bTelefoneComprador">Definições!$G$9="ATIVAR"</definedName>
    <definedName name="bTelefoneVendedor">Definições!$G$14="ATIVAR"</definedName>
    <definedName name="bTermos">Definições!$G$19="ON"</definedName>
    <definedName name="bVendedor">Definições!$G$17="ATIVAR"</definedName>
    <definedName name="EndereçoComprador">Fatura!$G$5</definedName>
    <definedName name="EndereçoLocalidadeCódigoPostalComprador">Fatura!$G$6</definedName>
    <definedName name="EndereçoLocalidadeCódigoPostalVendedor">Fatura!$B$6</definedName>
    <definedName name="EndereçoVendedor">Fatura!$B$5</definedName>
    <definedName name="fatDesc">Fatura!$I$15</definedName>
    <definedName name="fatEnviadoPor">Fatura!$M$12</definedName>
    <definedName name="fatFOBIncoterm">Fatura!$F$15</definedName>
    <definedName name="fatNúmNotaEncomenda">Fatura!$F$12</definedName>
    <definedName name="fatNúmPacotes">Fatura!$K$12</definedName>
    <definedName name="fatTermos">Fatura!$B$15</definedName>
    <definedName name="fatVendedor">Fatura!$B$12</definedName>
    <definedName name="FaxComprador">Fatura!$G$8</definedName>
    <definedName name="FaxVendedor">Fatura!$B$8</definedName>
    <definedName name="NomeComprador">Fatura!$G$4</definedName>
    <definedName name="NomeVendedor">Fatura!$B$4</definedName>
    <definedName name="outro">Fatura!$M$40</definedName>
    <definedName name="Subtotal">Fatura!$M$37</definedName>
    <definedName name="TaxaImposto">Fatura!$M$38</definedName>
    <definedName name="TelefoneComprador">Fatura!$G$7</definedName>
    <definedName name="TelefoneVendedor">Fatura!$B$7</definedName>
    <definedName name="TermosDeEnvio">tabTermosFOB[FOB/INCOTERM]</definedName>
    <definedName name="TotalGeral">Fatura!$M$41</definedName>
    <definedName name="TotalTaxas">Fatura!$M$39</definedName>
    <definedName name="Transportadora">tblTransportadoras[TRANSPORTADORA]</definedName>
  </definedNames>
  <calcPr calcId="152511"/>
</workbook>
</file>

<file path=xl/calcChain.xml><?xml version="1.0" encoding="utf-8"?>
<calcChain xmlns="http://schemas.openxmlformats.org/spreadsheetml/2006/main">
  <c r="M34" i="1" l="1"/>
  <c r="M25" i="1" l="1"/>
  <c r="M26" i="1"/>
  <c r="M27" i="1"/>
  <c r="M28" i="1"/>
  <c r="M29" i="1"/>
  <c r="M30" i="1"/>
  <c r="M31" i="1"/>
  <c r="M32" i="1"/>
  <c r="M33" i="1"/>
  <c r="M35" i="1"/>
  <c r="M36" i="1"/>
  <c r="M24" i="1" l="1"/>
  <c r="I15" i="1"/>
  <c r="M37" i="1" l="1"/>
  <c r="M39" i="1" s="1"/>
  <c r="M41" i="1" s="1"/>
</calcChain>
</file>

<file path=xl/sharedStrings.xml><?xml version="1.0" encoding="utf-8"?>
<sst xmlns="http://schemas.openxmlformats.org/spreadsheetml/2006/main" count="94" uniqueCount="73">
  <si>
    <t>DAT</t>
  </si>
  <si>
    <t>DAP</t>
  </si>
  <si>
    <t>DDP</t>
  </si>
  <si>
    <t>Outro</t>
  </si>
  <si>
    <t>EXW</t>
  </si>
  <si>
    <t>Subtotal</t>
  </si>
  <si>
    <t>Imposto</t>
  </si>
  <si>
    <t>Local de expedição</t>
  </si>
  <si>
    <t>Destino</t>
  </si>
  <si>
    <t>Envio à cobrança</t>
  </si>
  <si>
    <t>Envio pré-pago</t>
  </si>
  <si>
    <t>USPS</t>
  </si>
  <si>
    <t>FedEx</t>
  </si>
  <si>
    <t>UPS</t>
  </si>
  <si>
    <t>Entregue no Terminal (1)</t>
  </si>
  <si>
    <t>Entregue no Local (1)</t>
  </si>
  <si>
    <t>Entregue com Direitos Pagos (1)</t>
  </si>
  <si>
    <t>Na fábrica (1)</t>
  </si>
  <si>
    <t>Total Geral</t>
  </si>
  <si>
    <t>Taxa do Imposto</t>
  </si>
  <si>
    <t>Introduza aqui os termos específicos do acordo.</t>
  </si>
  <si>
    <t>Nome da empresa (comprador) não está em branco</t>
  </si>
  <si>
    <t>Endereço da empresa (comprador) não está em branco</t>
  </si>
  <si>
    <t>Localidade e código postal da empresa (comprador) não está em branco</t>
  </si>
  <si>
    <t>Telefone da empresa (comprador) não está em branco</t>
  </si>
  <si>
    <t>Fax da empresa (comprador) não está em branco</t>
  </si>
  <si>
    <t>Nome da empresa (vendedor) não está em branco</t>
  </si>
  <si>
    <t>Endereço da empresa (vendedor) não está em branco</t>
  </si>
  <si>
    <t>Localidade e código postal da empresa (vendedor) não está em branco</t>
  </si>
  <si>
    <t>Telefone da empresa (vendedor) não está em branco</t>
  </si>
  <si>
    <t>Fax da empresa (vendedor) não está em branco</t>
  </si>
  <si>
    <t>Número do Pedido não está em branco</t>
  </si>
  <si>
    <t>Vendedor não está em branco</t>
  </si>
  <si>
    <t>Enviado não está em branco</t>
  </si>
  <si>
    <t>Termos não está em branco</t>
  </si>
  <si>
    <t>FOB/Incoterm não está em branco</t>
  </si>
  <si>
    <t>N.º de Embalagens não está em branco</t>
  </si>
  <si>
    <t>ATIVAR</t>
  </si>
  <si>
    <t>DESATIVAR</t>
  </si>
  <si>
    <t>Termos em conformidade com os termos de Comércio Internacional, atualizados na oitava edição de dia 1 de janeiro de 2011, Incoterms 2010.</t>
  </si>
  <si>
    <t>VENDEDOR</t>
  </si>
  <si>
    <t>COMPRADOR</t>
  </si>
  <si>
    <t>Nenhum</t>
  </si>
  <si>
    <t>TERMOS DO ACORDO</t>
  </si>
  <si>
    <t>ENVIADO</t>
  </si>
  <si>
    <t>TERMOS</t>
  </si>
  <si>
    <t>FOB/INCOTERM</t>
  </si>
  <si>
    <t>DESCRIÇÃO</t>
  </si>
  <si>
    <t>QUANTIDADE</t>
  </si>
  <si>
    <t>PREÇO UNITÁRIO</t>
  </si>
  <si>
    <t>MONTANTE</t>
  </si>
  <si>
    <t>SIGNIFICADO</t>
  </si>
  <si>
    <t>TRANSPORTADORA</t>
  </si>
  <si>
    <t>REGRAS DE FORMATAÇÃO CONDICIONAL</t>
  </si>
  <si>
    <t>ATIVADO/DESATIVADO</t>
  </si>
  <si>
    <t>VENDEDOR</t>
  </si>
  <si>
    <t>DATA</t>
  </si>
  <si>
    <t>EMBALAGENS</t>
  </si>
  <si>
    <t>Instituto de Design Gráfico</t>
  </si>
  <si>
    <t>Beco da Solidão, 5</t>
  </si>
  <si>
    <t>Rua de Baixo, nº 1225</t>
  </si>
  <si>
    <t>Resma de papel</t>
  </si>
  <si>
    <t>Secretária com suporte no chão</t>
  </si>
  <si>
    <t>NÚMERO DO PEDIDO</t>
  </si>
  <si>
    <t>Também pode utilizar esta linha</t>
  </si>
  <si>
    <t>Algés, Lisboa 12345</t>
  </si>
  <si>
    <t>Leonilde Sousa</t>
  </si>
  <si>
    <t>Amarante, Porto 12345</t>
  </si>
  <si>
    <t>Contoso, Lda</t>
  </si>
  <si>
    <t>(21) 789 54 32</t>
  </si>
  <si>
    <t>(21) 789 54 33</t>
  </si>
  <si>
    <t>(21) 543 21 78</t>
  </si>
  <si>
    <t>(21) 543 21 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</si>
</sst>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€&quot;;[Red]\-#,##0.00\ &quot;€&quot;"/>
    <numFmt numFmtId="165" formatCode="[&lt;=9999999]###\-####;\(###\)\ ###\-####"/>
    <numFmt numFmtId="166" formatCode="0%_)"/>
    <numFmt numFmtId="167" formatCode="dd\-mm\-yyyy"/>
  </numFmts>
  <fonts count="12" x14ac:knownFonts="1">
    <font>
      <sz val="10"/>
      <color theme="1" tint="0.24994659260841701"/>
      <name val="Cambria"/>
      <family val="2"/>
      <scheme val="minor"/>
    </font>
    <font>
      <sz val="12"/>
      <color theme="1"/>
      <name val="Cambria"/>
      <family val="2"/>
      <scheme val="minor"/>
    </font>
    <font>
      <sz val="9"/>
      <color theme="1"/>
      <name val="Cambria"/>
      <family val="2"/>
      <scheme val="minor"/>
    </font>
    <font>
      <sz val="9"/>
      <color theme="1" tint="0.249977111117893"/>
      <name val="Cambria"/>
      <family val="2"/>
      <scheme val="minor"/>
    </font>
    <font>
      <sz val="10"/>
      <color theme="1"/>
      <name val="Cambria"/>
      <family val="2"/>
      <scheme val="minor"/>
    </font>
    <font>
      <sz val="10"/>
      <color theme="1" tint="0.249977111117893"/>
      <name val="Cambria"/>
      <family val="2"/>
      <scheme val="minor"/>
    </font>
    <font>
      <b/>
      <sz val="10"/>
      <color theme="1"/>
      <name val="Cambria"/>
      <family val="2"/>
      <scheme val="minor"/>
    </font>
    <font>
      <sz val="11"/>
      <color theme="1" tint="0.24994659260841701"/>
      <name val="Cambria"/>
      <family val="2"/>
      <scheme val="minor"/>
    </font>
    <font>
      <sz val="11"/>
      <color theme="1" tint="0.34998626667073579"/>
      <name val="Cambria"/>
      <family val="2"/>
      <scheme val="minor"/>
    </font>
    <font>
      <sz val="10"/>
      <color theme="1" tint="0.34998626667073579"/>
      <name val="Cambria"/>
      <family val="2"/>
      <scheme val="minor"/>
    </font>
    <font>
      <sz val="14"/>
      <color theme="1" tint="0.24994659260841701"/>
      <name val="Cambria"/>
      <family val="2"/>
      <scheme val="major"/>
    </font>
    <font>
      <sz val="12"/>
      <color theme="1"/>
      <name val="Cambria"/>
      <family val="2"/>
      <scheme val="maj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dotted">
        <color theme="0" tint="-0.24994659260841701"/>
      </bottom>
      <diagonal/>
    </border>
    <border>
      <left/>
      <right/>
      <top style="dotted">
        <color theme="0" tint="-0.24994659260841701"/>
      </top>
      <bottom style="thin">
        <color theme="0" tint="-4.9989318521683403E-2"/>
      </bottom>
      <diagonal/>
    </border>
  </borders>
  <cellStyleXfs count="6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top" wrapText="1"/>
    </xf>
    <xf numFmtId="0" fontId="1" fillId="0" borderId="1" xfId="0" applyFont="1" applyBorder="1" applyAlignment="1"/>
    <xf numFmtId="0" fontId="1" fillId="0" borderId="1" xfId="0" applyFont="1" applyBorder="1"/>
    <xf numFmtId="0" fontId="1" fillId="0" borderId="0" xfId="0" applyFont="1" applyBorder="1"/>
    <xf numFmtId="0" fontId="2" fillId="0" borderId="0" xfId="0" applyFont="1" applyAlignment="1">
      <alignment horizontal="left"/>
    </xf>
    <xf numFmtId="0" fontId="1" fillId="0" borderId="0" xfId="0" applyFont="1" applyBorder="1" applyAlignment="1"/>
    <xf numFmtId="0" fontId="0" fillId="0" borderId="0" xfId="0" applyBorder="1"/>
    <xf numFmtId="0" fontId="2" fillId="0" borderId="0" xfId="0" applyFont="1"/>
    <xf numFmtId="0" fontId="1" fillId="0" borderId="0" xfId="0" applyFont="1"/>
    <xf numFmtId="0" fontId="1" fillId="0" borderId="1" xfId="0" applyFont="1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center"/>
    </xf>
    <xf numFmtId="0" fontId="6" fillId="0" borderId="0" xfId="0" applyFont="1"/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2" xfId="0" applyFont="1" applyBorder="1" applyAlignment="1">
      <alignment horizontal="center"/>
    </xf>
    <xf numFmtId="0" fontId="4" fillId="0" borderId="0" xfId="0" applyFont="1" applyBorder="1" applyAlignment="1"/>
    <xf numFmtId="0" fontId="4" fillId="0" borderId="2" xfId="0" applyFont="1" applyBorder="1" applyAlignment="1">
      <alignment horizontal="left"/>
    </xf>
    <xf numFmtId="0" fontId="5" fillId="0" borderId="2" xfId="0" applyFont="1" applyBorder="1" applyAlignment="1"/>
    <xf numFmtId="0" fontId="5" fillId="0" borderId="0" xfId="0" applyFont="1"/>
    <xf numFmtId="0" fontId="5" fillId="0" borderId="0" xfId="0" applyFont="1" applyFill="1" applyBorder="1" applyAlignment="1"/>
    <xf numFmtId="0" fontId="5" fillId="0" borderId="0" xfId="0" applyFont="1" applyAlignment="1"/>
    <xf numFmtId="0" fontId="11" fillId="0" borderId="0" xfId="2" applyAlignment="1"/>
    <xf numFmtId="0" fontId="11" fillId="0" borderId="1" xfId="2" applyBorder="1" applyAlignment="1"/>
    <xf numFmtId="0" fontId="11" fillId="0" borderId="1" xfId="2" applyBorder="1" applyAlignment="1">
      <alignment horizontal="left"/>
    </xf>
    <xf numFmtId="0" fontId="11" fillId="0" borderId="1" xfId="2" applyBorder="1" applyAlignment="1">
      <alignment horizontal="center"/>
    </xf>
    <xf numFmtId="0" fontId="5" fillId="0" borderId="3" xfId="0" applyNumberFormat="1" applyFont="1" applyBorder="1" applyAlignment="1">
      <alignment horizontal="left"/>
    </xf>
    <xf numFmtId="49" fontId="5" fillId="0" borderId="0" xfId="0" applyNumberFormat="1" applyFont="1" applyBorder="1"/>
    <xf numFmtId="0" fontId="5" fillId="0" borderId="4" xfId="0" applyNumberFormat="1" applyFont="1" applyBorder="1" applyAlignment="1">
      <alignment horizontal="left"/>
    </xf>
    <xf numFmtId="0" fontId="5" fillId="0" borderId="5" xfId="0" applyNumberFormat="1" applyFont="1" applyBorder="1" applyAlignment="1">
      <alignment horizontal="left"/>
    </xf>
    <xf numFmtId="166" fontId="4" fillId="0" borderId="0" xfId="0" applyNumberFormat="1" applyFont="1"/>
    <xf numFmtId="164" fontId="5" fillId="0" borderId="5" xfId="0" applyNumberFormat="1" applyFont="1" applyBorder="1"/>
    <xf numFmtId="164" fontId="5" fillId="0" borderId="0" xfId="0" applyNumberFormat="1" applyFont="1" applyBorder="1"/>
    <xf numFmtId="164" fontId="5" fillId="0" borderId="3" xfId="0" applyNumberFormat="1" applyFont="1" applyBorder="1"/>
    <xf numFmtId="164" fontId="5" fillId="0" borderId="4" xfId="0" applyNumberFormat="1" applyFont="1" applyBorder="1" applyAlignment="1"/>
    <xf numFmtId="164" fontId="5" fillId="0" borderId="4" xfId="0" applyNumberFormat="1" applyFont="1" applyBorder="1"/>
    <xf numFmtId="164" fontId="4" fillId="0" borderId="0" xfId="0" applyNumberFormat="1" applyFont="1"/>
    <xf numFmtId="164" fontId="6" fillId="0" borderId="0" xfId="0" applyNumberFormat="1" applyFont="1"/>
    <xf numFmtId="167" fontId="4" fillId="0" borderId="2" xfId="0" applyNumberFormat="1" applyFont="1" applyBorder="1" applyAlignment="1">
      <alignment horizontal="left"/>
    </xf>
    <xf numFmtId="49" fontId="5" fillId="0" borderId="0" xfId="0" applyNumberFormat="1" applyFont="1"/>
    <xf numFmtId="49" fontId="5" fillId="0" borderId="2" xfId="0" applyNumberFormat="1" applyFont="1" applyBorder="1"/>
    <xf numFmtId="49" fontId="5" fillId="0" borderId="3" xfId="0" applyNumberFormat="1" applyFont="1" applyBorder="1" applyAlignment="1">
      <alignment horizontal="left"/>
    </xf>
    <xf numFmtId="0" fontId="4" fillId="0" borderId="0" xfId="0" applyFont="1" applyAlignment="1">
      <alignment horizontal="left"/>
    </xf>
    <xf numFmtId="49" fontId="5" fillId="0" borderId="5" xfId="0" applyNumberFormat="1" applyFont="1" applyBorder="1" applyAlignment="1">
      <alignment horizontal="left"/>
    </xf>
    <xf numFmtId="49" fontId="5" fillId="0" borderId="4" xfId="0" applyNumberFormat="1" applyFont="1" applyBorder="1" applyAlignment="1">
      <alignment horizontal="left"/>
    </xf>
    <xf numFmtId="165" fontId="5" fillId="0" borderId="0" xfId="0" applyNumberFormat="1" applyFont="1" applyFill="1" applyBorder="1" applyAlignment="1">
      <alignment horizontal="left"/>
    </xf>
    <xf numFmtId="0" fontId="3" fillId="0" borderId="0" xfId="0" applyFont="1" applyAlignment="1">
      <alignment horizontal="left" vertical="top" wrapText="1"/>
    </xf>
  </cellXfs>
  <cellStyles count="6"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Normal" xfId="0" builtinId="0" customBuiltin="1"/>
    <cellStyle name="Título" xfId="1" builtinId="15" customBuiltin="1"/>
  </cellStyles>
  <dxfs count="31"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mbria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mbria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mbria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mbria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mbria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mbria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mbria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mbria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mbria"/>
        <scheme val="minor"/>
      </font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</border>
    </dxf>
    <dxf>
      <font>
        <b val="0"/>
        <i val="0"/>
        <color theme="1" tint="0.34998626667073579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dotted">
          <color theme="0" tint="-0.24994659260841701"/>
        </bottom>
        <vertical/>
        <horizontal/>
      </border>
    </dxf>
    <dxf>
      <font>
        <b val="0"/>
        <i val="0"/>
        <color theme="1" tint="0.34998626667073579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ommercialInvoice_Table1" pivot="0" count="2">
      <tableStyleElement type="wholeTable" dxfId="30"/>
      <tableStyleElement type="headerRow" dxfId="2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132901</xdr:rowOff>
    </xdr:from>
    <xdr:to>
      <xdr:col>1</xdr:col>
      <xdr:colOff>999990</xdr:colOff>
      <xdr:row>1</xdr:row>
      <xdr:rowOff>571872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390076"/>
          <a:ext cx="1076190" cy="4389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2</xdr:row>
      <xdr:rowOff>133351</xdr:rowOff>
    </xdr:from>
    <xdr:to>
      <xdr:col>10</xdr:col>
      <xdr:colOff>438150</xdr:colOff>
      <xdr:row>8</xdr:row>
      <xdr:rowOff>142875</xdr:rowOff>
    </xdr:to>
    <xdr:sp macro="" textlink="">
      <xdr:nvSpPr>
        <xdr:cNvPr id="2" name="Balão Retangular 1" descr="Utilize esta tabela para controlar a formatação condicional na folha Fatura. Selecione ATIVAR ou DESATIVAR para ativar ou desativar uma regra de formatação condicional para a fatura." title="Sugestão de Formatação Condicional"/>
        <xdr:cNvSpPr/>
      </xdr:nvSpPr>
      <xdr:spPr>
        <a:xfrm>
          <a:off x="10906125" y="457201"/>
          <a:ext cx="1905000" cy="1019174"/>
        </a:xfrm>
        <a:prstGeom prst="wedgeRectCallout">
          <a:avLst>
            <a:gd name="adj1" fmla="val -67512"/>
            <a:gd name="adj2" fmla="val -23201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900">
              <a:solidFill>
                <a:schemeClr val="tx1">
                  <a:lumMod val="65000"/>
                  <a:lumOff val="35000"/>
                </a:schemeClr>
              </a:solidFill>
            </a:rPr>
            <a:t>Utilize</a:t>
          </a:r>
          <a:r>
            <a:rPr lang="en-US" sz="900" baseline="0">
              <a:solidFill>
                <a:schemeClr val="tx1">
                  <a:lumMod val="65000"/>
                  <a:lumOff val="35000"/>
                </a:schemeClr>
              </a:solidFill>
            </a:rPr>
            <a:t> esta tabela para controlar a formatação condicional na folha Fatura. </a:t>
          </a:r>
          <a:r>
            <a:rPr lang="en-US" sz="900">
              <a:solidFill>
                <a:schemeClr val="tx1">
                  <a:lumMod val="65000"/>
                  <a:lumOff val="35000"/>
                </a:schemeClr>
              </a:solidFill>
            </a:rPr>
            <a:t>Selecione ATIVAR ou DESATIVAR para ativar ou desativar</a:t>
          </a:r>
          <a:r>
            <a:rPr lang="en-US" sz="900" baseline="0">
              <a:solidFill>
                <a:schemeClr val="tx1">
                  <a:lumMod val="65000"/>
                  <a:lumOff val="35000"/>
                </a:schemeClr>
              </a:solidFill>
            </a:rPr>
            <a:t> uma</a:t>
          </a:r>
          <a:r>
            <a:rPr lang="en-US" sz="900">
              <a:solidFill>
                <a:schemeClr val="tx1">
                  <a:lumMod val="65000"/>
                  <a:lumOff val="35000"/>
                </a:schemeClr>
              </a:solidFill>
            </a:rPr>
            <a:t> regra de</a:t>
          </a:r>
          <a:r>
            <a:rPr lang="en-US" sz="900" baseline="0">
              <a:solidFill>
                <a:schemeClr val="tx1">
                  <a:lumMod val="65000"/>
                  <a:lumOff val="35000"/>
                </a:schemeClr>
              </a:solidFill>
            </a:rPr>
            <a:t> formatação condicional para a fatura.</a:t>
          </a:r>
          <a:endParaRPr lang="en-US" sz="9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TermosFOB" displayName="tabTermosFOB" ref="A5:B12" totalsRowShown="0" headerRowDxfId="11" dataDxfId="10">
  <tableColumns count="2">
    <tableColumn id="1" name="FOB/INCOTERM" dataDxfId="9"/>
    <tableColumn id="2" name="SIGNIFICADO" dataDxfId="8"/>
  </tableColumns>
  <tableStyleInfo name="CommercialInvoice_Table1" showFirstColumn="0" showLastColumn="0" showRowStripes="1" showColumnStripes="0"/>
  <extLst>
    <ext xmlns:x14="http://schemas.microsoft.com/office/spreadsheetml/2009/9/main" uri="{504A1905-F514-4f6f-8877-14C23A59335A}">
      <x14:table altText="FOB/Termos de Comércio Internacionais. " altTextSummary="Lista de abreviaturas e descrições FOB/Incoterm"/>
    </ext>
  </extLst>
</table>
</file>

<file path=xl/tables/table2.xml><?xml version="1.0" encoding="utf-8"?>
<table xmlns="http://schemas.openxmlformats.org/spreadsheetml/2006/main" id="4" name="tblTransportadoras" displayName="tblTransportadoras" ref="D5:D9" totalsRowShown="0" headerRowDxfId="7" dataDxfId="6">
  <tableColumns count="1">
    <tableColumn id="1" name="TRANSPORTADORA" dataDxfId="5"/>
  </tableColumns>
  <tableStyleInfo name="CommercialInvoice_Table1" showFirstColumn="0" showLastColumn="0" showRowStripes="1" showColumnStripes="0"/>
  <extLst>
    <ext xmlns:x14="http://schemas.microsoft.com/office/spreadsheetml/2009/9/main" uri="{504A1905-F514-4f6f-8877-14C23A59335A}">
      <x14:table altText="Transportadora" altTextSummary="Lista de transportadoras, como USPS, FedEx, UPS, etc."/>
    </ext>
  </extLst>
</table>
</file>

<file path=xl/tables/table3.xml><?xml version="1.0" encoding="utf-8"?>
<table xmlns="http://schemas.openxmlformats.org/spreadsheetml/2006/main" id="3" name="tabFormataçãoCondicional" displayName="tabFormataçãoCondicional" ref="F5:G21" totalsRowShown="0" headerRowDxfId="4" dataDxfId="3">
  <tableColumns count="2">
    <tableColumn id="1" name="REGRAS DE FORMATAÇÃO CONDICIONAL" dataDxfId="2"/>
    <tableColumn id="3" name="ATIVADO/DESATIVADO" dataDxfId="1"/>
  </tableColumns>
  <tableStyleInfo name="CommercialInvoice_Table1" showFirstColumn="0" showLastColumn="0" showRowStripes="1" showColumnStripes="0"/>
  <extLst>
    <ext xmlns:x14="http://schemas.microsoft.com/office/spreadsheetml/2009/9/main" uri="{504A1905-F514-4f6f-8877-14C23A59335A}">
      <x14:table altText="Regras de formatação condicional" altTextSummary="Utilize esta tabela para controlar a formatação condicional na folha Fatura. Selecione ATIVAR ou DESATIVAR para ativar ou desativar uma regra de formatação condicional para a fatura."/>
    </ext>
  </extLst>
</table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CommercialInvoice_Fonts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249977111117893"/>
    <pageSetUpPr autoPageBreaks="0" fitToPage="1"/>
  </sheetPr>
  <dimension ref="B1:M50"/>
  <sheetViews>
    <sheetView showGridLines="0" tabSelected="1" zoomScaleNormal="100" workbookViewId="0"/>
  </sheetViews>
  <sheetFormatPr defaultColWidth="12.7109375" defaultRowHeight="12.75" x14ac:dyDescent="0.2"/>
  <cols>
    <col min="1" max="1" width="3" customWidth="1"/>
    <col min="2" max="2" width="22.85546875" bestFit="1" customWidth="1"/>
    <col min="3" max="3" width="1.28515625" customWidth="1"/>
    <col min="4" max="4" width="12.7109375" customWidth="1"/>
    <col min="5" max="5" width="1.28515625" customWidth="1"/>
    <col min="6" max="7" width="12.7109375" customWidth="1"/>
    <col min="8" max="8" width="1.28515625" customWidth="1"/>
    <col min="9" max="9" width="12.7109375" customWidth="1"/>
    <col min="10" max="10" width="1.28515625" customWidth="1"/>
    <col min="11" max="11" width="12.7109375" customWidth="1"/>
    <col min="12" max="12" width="7.28515625" customWidth="1"/>
    <col min="13" max="13" width="12.7109375" customWidth="1"/>
    <col min="14" max="14" width="1.7109375" customWidth="1"/>
  </cols>
  <sheetData>
    <row r="1" spans="2:13" ht="20.25" customHeight="1" x14ac:dyDescent="0.2"/>
    <row r="2" spans="2:13" ht="66" customHeight="1" x14ac:dyDescent="0.2"/>
    <row r="3" spans="2:13" ht="15.75" x14ac:dyDescent="0.25">
      <c r="B3" s="23" t="s">
        <v>40</v>
      </c>
      <c r="C3" s="2"/>
      <c r="D3" s="3"/>
      <c r="E3" s="4"/>
      <c r="G3" s="24" t="s">
        <v>41</v>
      </c>
      <c r="H3" s="2"/>
      <c r="I3" s="3"/>
    </row>
    <row r="4" spans="2:13" ht="20.25" customHeight="1" x14ac:dyDescent="0.2">
      <c r="B4" s="19" t="s">
        <v>68</v>
      </c>
      <c r="C4" s="11"/>
      <c r="D4" s="11"/>
      <c r="E4" s="11"/>
      <c r="F4" s="11"/>
      <c r="G4" s="19" t="s">
        <v>58</v>
      </c>
      <c r="H4" s="11"/>
      <c r="I4" s="11"/>
      <c r="J4" s="20"/>
      <c r="K4" s="20"/>
      <c r="L4" s="20"/>
      <c r="M4" s="20"/>
    </row>
    <row r="5" spans="2:13" x14ac:dyDescent="0.2">
      <c r="B5" s="21" t="s">
        <v>59</v>
      </c>
      <c r="C5" s="11"/>
      <c r="D5" s="11"/>
      <c r="E5" s="11"/>
      <c r="F5" s="11"/>
      <c r="G5" s="21" t="s">
        <v>60</v>
      </c>
      <c r="H5" s="11"/>
      <c r="I5" s="11"/>
      <c r="J5" s="20"/>
      <c r="K5" s="22"/>
      <c r="L5" s="22"/>
      <c r="M5" s="20"/>
    </row>
    <row r="6" spans="2:13" x14ac:dyDescent="0.2">
      <c r="B6" s="21" t="s">
        <v>67</v>
      </c>
      <c r="C6" s="11"/>
      <c r="D6" s="11"/>
      <c r="E6" s="11"/>
      <c r="F6" s="11"/>
      <c r="G6" s="21" t="s">
        <v>65</v>
      </c>
      <c r="H6" s="11"/>
      <c r="I6" s="11"/>
      <c r="J6" s="20"/>
      <c r="K6" s="22"/>
      <c r="L6" s="22"/>
      <c r="M6" s="20"/>
    </row>
    <row r="7" spans="2:13" x14ac:dyDescent="0.2">
      <c r="B7" s="46" t="s">
        <v>69</v>
      </c>
      <c r="C7" s="46"/>
      <c r="D7" s="46"/>
      <c r="E7" s="11"/>
      <c r="F7" s="11"/>
      <c r="G7" s="46" t="s">
        <v>71</v>
      </c>
      <c r="H7" s="46"/>
      <c r="I7" s="46"/>
      <c r="J7" s="20"/>
      <c r="K7" s="22"/>
      <c r="L7" s="22"/>
      <c r="M7" s="20"/>
    </row>
    <row r="8" spans="2:13" x14ac:dyDescent="0.2">
      <c r="B8" s="46" t="s">
        <v>70</v>
      </c>
      <c r="C8" s="46"/>
      <c r="D8" s="46"/>
      <c r="E8" s="11"/>
      <c r="F8" s="11"/>
      <c r="G8" s="46" t="s">
        <v>72</v>
      </c>
      <c r="H8" s="46"/>
      <c r="I8" s="46"/>
      <c r="J8" s="20"/>
      <c r="K8" s="22"/>
      <c r="L8" s="22"/>
      <c r="M8" s="20"/>
    </row>
    <row r="9" spans="2:13" x14ac:dyDescent="0.2">
      <c r="B9" s="8"/>
      <c r="C9" s="8"/>
      <c r="D9" s="8"/>
      <c r="E9" s="8"/>
      <c r="F9" s="8"/>
      <c r="G9" s="8"/>
      <c r="J9" s="5"/>
      <c r="K9" s="5"/>
      <c r="L9" s="5"/>
    </row>
    <row r="11" spans="2:13" ht="15.75" x14ac:dyDescent="0.25">
      <c r="B11" s="25" t="s">
        <v>55</v>
      </c>
      <c r="C11" s="10"/>
      <c r="D11" s="10"/>
      <c r="E11" s="6"/>
      <c r="F11" s="25" t="s">
        <v>63</v>
      </c>
      <c r="G11" s="10"/>
      <c r="H11" s="6"/>
      <c r="I11" s="25" t="s">
        <v>56</v>
      </c>
      <c r="J11" s="6"/>
      <c r="K11" s="26" t="s">
        <v>57</v>
      </c>
      <c r="L11" s="6"/>
      <c r="M11" s="25" t="s">
        <v>44</v>
      </c>
    </row>
    <row r="12" spans="2:13" ht="20.25" customHeight="1" x14ac:dyDescent="0.2">
      <c r="B12" s="43" t="s">
        <v>66</v>
      </c>
      <c r="C12" s="43"/>
      <c r="D12" s="43"/>
      <c r="E12" s="14"/>
      <c r="F12" s="43">
        <v>123</v>
      </c>
      <c r="G12" s="43"/>
      <c r="H12" s="14"/>
      <c r="I12" s="39">
        <v>40909</v>
      </c>
      <c r="J12" s="15"/>
      <c r="K12" s="16">
        <v>1</v>
      </c>
      <c r="L12" s="17"/>
      <c r="M12" s="18" t="s">
        <v>11</v>
      </c>
    </row>
    <row r="13" spans="2:13" x14ac:dyDescent="0.2">
      <c r="E13" s="7"/>
      <c r="H13" s="7"/>
    </row>
    <row r="14" spans="2:13" ht="15.75" x14ac:dyDescent="0.25">
      <c r="B14" s="25" t="s">
        <v>45</v>
      </c>
      <c r="C14" s="10"/>
      <c r="D14" s="10"/>
      <c r="E14" s="6"/>
      <c r="F14" s="25" t="s">
        <v>46</v>
      </c>
      <c r="G14" s="10"/>
      <c r="H14" s="6"/>
      <c r="I14" s="25" t="s">
        <v>47</v>
      </c>
      <c r="J14" s="10"/>
      <c r="K14" s="10"/>
      <c r="L14" s="10"/>
      <c r="M14" s="10"/>
    </row>
    <row r="15" spans="2:13" ht="20.25" customHeight="1" x14ac:dyDescent="0.2">
      <c r="B15" s="43" t="s">
        <v>42</v>
      </c>
      <c r="C15" s="43"/>
      <c r="D15" s="43"/>
      <c r="E15" s="14"/>
      <c r="F15" s="43" t="s">
        <v>10</v>
      </c>
      <c r="G15" s="43"/>
      <c r="H15" s="14"/>
      <c r="I15" s="43" t="str">
        <f>IFERROR(INDEX(tabTermosFOB[],MATCH(F15,tabTermosFOB[FOB/INCOTERM],0),2),"")</f>
        <v>Destino</v>
      </c>
      <c r="J15" s="43"/>
      <c r="K15" s="43"/>
      <c r="L15" s="43"/>
      <c r="M15" s="43"/>
    </row>
    <row r="17" spans="2:13" ht="3" customHeigh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2:13" ht="3" customHeigh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2:13" ht="3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2:13" ht="3" customHeight="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2:13" ht="3" customHeight="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3" spans="2:13" ht="15.75" x14ac:dyDescent="0.25">
      <c r="B23" s="24" t="s">
        <v>48</v>
      </c>
      <c r="D23" s="24" t="s">
        <v>47</v>
      </c>
      <c r="E23" s="2"/>
      <c r="F23" s="2"/>
      <c r="G23" s="2"/>
      <c r="H23" s="2"/>
      <c r="I23" s="2"/>
      <c r="K23" s="24" t="s">
        <v>49</v>
      </c>
      <c r="L23" s="7"/>
      <c r="M23" s="24" t="s">
        <v>50</v>
      </c>
    </row>
    <row r="24" spans="2:13" x14ac:dyDescent="0.2">
      <c r="B24" s="30">
        <v>1</v>
      </c>
      <c r="C24" s="28"/>
      <c r="D24" s="44" t="s">
        <v>61</v>
      </c>
      <c r="E24" s="44"/>
      <c r="F24" s="44"/>
      <c r="G24" s="44"/>
      <c r="H24" s="44"/>
      <c r="I24" s="44"/>
      <c r="J24" s="28"/>
      <c r="K24" s="32">
        <v>15</v>
      </c>
      <c r="L24" s="33"/>
      <c r="M24" s="32">
        <f t="shared" ref="M24:M36" si="0">IF(AND(K24&lt;&gt;"",B24&lt;&gt;""),B24*K24,"")</f>
        <v>15</v>
      </c>
    </row>
    <row r="25" spans="2:13" x14ac:dyDescent="0.2">
      <c r="B25" s="27">
        <v>5</v>
      </c>
      <c r="C25" s="28"/>
      <c r="D25" s="42" t="s">
        <v>62</v>
      </c>
      <c r="E25" s="42"/>
      <c r="F25" s="42"/>
      <c r="G25" s="42"/>
      <c r="H25" s="42"/>
      <c r="I25" s="42"/>
      <c r="J25" s="28"/>
      <c r="K25" s="34">
        <v>275</v>
      </c>
      <c r="L25" s="33"/>
      <c r="M25" s="34">
        <f t="shared" si="0"/>
        <v>1375</v>
      </c>
    </row>
    <row r="26" spans="2:13" x14ac:dyDescent="0.2">
      <c r="B26" s="27"/>
      <c r="C26" s="28"/>
      <c r="D26" s="42"/>
      <c r="E26" s="42"/>
      <c r="F26" s="42"/>
      <c r="G26" s="42"/>
      <c r="H26" s="42"/>
      <c r="I26" s="42"/>
      <c r="J26" s="28"/>
      <c r="K26" s="34"/>
      <c r="L26" s="33"/>
      <c r="M26" s="34" t="str">
        <f t="shared" si="0"/>
        <v/>
      </c>
    </row>
    <row r="27" spans="2:13" x14ac:dyDescent="0.2">
      <c r="B27" s="27"/>
      <c r="C27" s="28"/>
      <c r="D27" s="42"/>
      <c r="E27" s="42"/>
      <c r="F27" s="42"/>
      <c r="G27" s="42"/>
      <c r="H27" s="42"/>
      <c r="I27" s="42"/>
      <c r="J27" s="28"/>
      <c r="K27" s="34"/>
      <c r="L27" s="33"/>
      <c r="M27" s="34" t="str">
        <f t="shared" si="0"/>
        <v/>
      </c>
    </row>
    <row r="28" spans="2:13" x14ac:dyDescent="0.2">
      <c r="B28" s="27"/>
      <c r="C28" s="28"/>
      <c r="D28" s="42"/>
      <c r="E28" s="42"/>
      <c r="F28" s="42"/>
      <c r="G28" s="42"/>
      <c r="H28" s="42"/>
      <c r="I28" s="42"/>
      <c r="J28" s="28"/>
      <c r="K28" s="34"/>
      <c r="L28" s="33"/>
      <c r="M28" s="34" t="str">
        <f t="shared" si="0"/>
        <v/>
      </c>
    </row>
    <row r="29" spans="2:13" x14ac:dyDescent="0.2">
      <c r="B29" s="27"/>
      <c r="C29" s="28"/>
      <c r="D29" s="42"/>
      <c r="E29" s="42"/>
      <c r="F29" s="42"/>
      <c r="G29" s="42"/>
      <c r="H29" s="42"/>
      <c r="I29" s="42"/>
      <c r="J29" s="28"/>
      <c r="K29" s="34"/>
      <c r="L29" s="33"/>
      <c r="M29" s="34" t="str">
        <f t="shared" si="0"/>
        <v/>
      </c>
    </row>
    <row r="30" spans="2:13" x14ac:dyDescent="0.2">
      <c r="B30" s="27"/>
      <c r="C30" s="28"/>
      <c r="D30" s="42"/>
      <c r="E30" s="42"/>
      <c r="F30" s="42"/>
      <c r="G30" s="42"/>
      <c r="H30" s="42"/>
      <c r="I30" s="42"/>
      <c r="J30" s="28"/>
      <c r="K30" s="34"/>
      <c r="L30" s="33"/>
      <c r="M30" s="34" t="str">
        <f t="shared" si="0"/>
        <v/>
      </c>
    </row>
    <row r="31" spans="2:13" x14ac:dyDescent="0.2">
      <c r="B31" s="27"/>
      <c r="C31" s="28"/>
      <c r="D31" s="42"/>
      <c r="E31" s="42"/>
      <c r="F31" s="42"/>
      <c r="G31" s="42"/>
      <c r="H31" s="42"/>
      <c r="I31" s="42"/>
      <c r="J31" s="28"/>
      <c r="K31" s="34"/>
      <c r="L31" s="33"/>
      <c r="M31" s="34" t="str">
        <f t="shared" si="0"/>
        <v/>
      </c>
    </row>
    <row r="32" spans="2:13" x14ac:dyDescent="0.2">
      <c r="B32" s="27"/>
      <c r="C32" s="28"/>
      <c r="D32" s="42"/>
      <c r="E32" s="42"/>
      <c r="F32" s="42"/>
      <c r="G32" s="42"/>
      <c r="H32" s="42"/>
      <c r="I32" s="42"/>
      <c r="J32" s="28"/>
      <c r="K32" s="34"/>
      <c r="L32" s="33"/>
      <c r="M32" s="34" t="str">
        <f t="shared" si="0"/>
        <v/>
      </c>
    </row>
    <row r="33" spans="2:13" x14ac:dyDescent="0.2">
      <c r="B33" s="27"/>
      <c r="C33" s="28"/>
      <c r="D33" s="42"/>
      <c r="E33" s="42"/>
      <c r="F33" s="42"/>
      <c r="G33" s="42"/>
      <c r="H33" s="42"/>
      <c r="I33" s="42"/>
      <c r="J33" s="28"/>
      <c r="K33" s="34"/>
      <c r="L33" s="33"/>
      <c r="M33" s="34" t="str">
        <f t="shared" si="0"/>
        <v/>
      </c>
    </row>
    <row r="34" spans="2:13" x14ac:dyDescent="0.2">
      <c r="B34" s="27"/>
      <c r="C34" s="28"/>
      <c r="D34" s="42"/>
      <c r="E34" s="42"/>
      <c r="F34" s="42"/>
      <c r="G34" s="42"/>
      <c r="H34" s="42"/>
      <c r="I34" s="42"/>
      <c r="J34" s="28"/>
      <c r="K34" s="34"/>
      <c r="L34" s="33"/>
      <c r="M34" s="34" t="str">
        <f t="shared" si="0"/>
        <v/>
      </c>
    </row>
    <row r="35" spans="2:13" x14ac:dyDescent="0.2">
      <c r="B35" s="27"/>
      <c r="C35" s="28"/>
      <c r="D35" s="42"/>
      <c r="E35" s="42"/>
      <c r="F35" s="42"/>
      <c r="G35" s="42"/>
      <c r="H35" s="42"/>
      <c r="I35" s="42"/>
      <c r="J35" s="28"/>
      <c r="K35" s="34"/>
      <c r="L35" s="33"/>
      <c r="M35" s="34" t="str">
        <f t="shared" si="0"/>
        <v/>
      </c>
    </row>
    <row r="36" spans="2:13" x14ac:dyDescent="0.2">
      <c r="B36" s="29"/>
      <c r="C36" s="28"/>
      <c r="D36" s="45"/>
      <c r="E36" s="45"/>
      <c r="F36" s="45"/>
      <c r="G36" s="45"/>
      <c r="H36" s="45"/>
      <c r="I36" s="45"/>
      <c r="J36" s="28"/>
      <c r="K36" s="35"/>
      <c r="L36" s="33"/>
      <c r="M36" s="36" t="str">
        <f t="shared" si="0"/>
        <v/>
      </c>
    </row>
    <row r="37" spans="2:13" x14ac:dyDescent="0.2">
      <c r="B37" s="11"/>
      <c r="C37" s="11"/>
      <c r="D37" s="11"/>
      <c r="E37" s="11"/>
      <c r="F37" s="11"/>
      <c r="G37" s="11"/>
      <c r="H37" s="11"/>
      <c r="I37" s="11"/>
      <c r="J37" s="11"/>
      <c r="K37" s="11" t="s">
        <v>5</v>
      </c>
      <c r="L37" s="11"/>
      <c r="M37" s="37">
        <f>SUM(M24:M36)</f>
        <v>1390</v>
      </c>
    </row>
    <row r="38" spans="2:13" x14ac:dyDescent="0.2">
      <c r="B38" s="11"/>
      <c r="C38" s="11"/>
      <c r="D38" s="11"/>
      <c r="E38" s="11"/>
      <c r="F38" s="11"/>
      <c r="G38" s="11"/>
      <c r="H38" s="11"/>
      <c r="I38" s="11"/>
      <c r="J38" s="11"/>
      <c r="K38" s="11" t="s">
        <v>19</v>
      </c>
      <c r="L38" s="11"/>
      <c r="M38" s="31">
        <v>7.4999999999999997E-2</v>
      </c>
    </row>
    <row r="39" spans="2:13" x14ac:dyDescent="0.2">
      <c r="B39" s="11"/>
      <c r="C39" s="11"/>
      <c r="D39" s="11"/>
      <c r="E39" s="11"/>
      <c r="F39" s="11"/>
      <c r="G39" s="11"/>
      <c r="H39" s="11"/>
      <c r="I39" s="11"/>
      <c r="J39" s="11"/>
      <c r="K39" s="11" t="s">
        <v>6</v>
      </c>
      <c r="L39" s="11"/>
      <c r="M39" s="37">
        <f>TaxaImposto*Subtotal</f>
        <v>104.25</v>
      </c>
    </row>
    <row r="40" spans="2:13" x14ac:dyDescent="0.2">
      <c r="B40" s="11"/>
      <c r="C40" s="11"/>
      <c r="D40" s="11"/>
      <c r="E40" s="11"/>
      <c r="F40" s="11"/>
      <c r="G40" s="11"/>
      <c r="H40" s="11"/>
      <c r="I40" s="11"/>
      <c r="J40" s="11"/>
      <c r="K40" s="11" t="s">
        <v>3</v>
      </c>
      <c r="L40" s="11"/>
      <c r="M40" s="37">
        <v>0</v>
      </c>
    </row>
    <row r="41" spans="2:13" x14ac:dyDescent="0.2">
      <c r="B41" s="11"/>
      <c r="C41" s="11"/>
      <c r="D41" s="11"/>
      <c r="E41" s="11"/>
      <c r="F41" s="11"/>
      <c r="G41" s="11"/>
      <c r="H41" s="11"/>
      <c r="I41" s="11"/>
      <c r="J41" s="11"/>
      <c r="K41" s="13" t="s">
        <v>18</v>
      </c>
      <c r="L41" s="13"/>
      <c r="M41" s="38">
        <f>SUM(outro,TotalTaxas,Subtotal)</f>
        <v>1494.25</v>
      </c>
    </row>
    <row r="42" spans="2:13" ht="3" customHeight="1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2:13" ht="3" customHeight="1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2:13" ht="3" customHeight="1" x14ac:dyDescent="0.2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2:13" ht="3" customHeight="1" x14ac:dyDescent="0.2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2:13" ht="3" customHeight="1" x14ac:dyDescent="0.25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8" spans="2:13" ht="15.75" x14ac:dyDescent="0.25">
      <c r="B48" s="24" t="s">
        <v>43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2:13" x14ac:dyDescent="0.2">
      <c r="B49" s="41" t="s">
        <v>20</v>
      </c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</row>
    <row r="50" spans="2:13" x14ac:dyDescent="0.2">
      <c r="B50" s="40" t="s">
        <v>64</v>
      </c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</row>
  </sheetData>
  <mergeCells count="24">
    <mergeCell ref="G8:I8"/>
    <mergeCell ref="G7:I7"/>
    <mergeCell ref="B8:D8"/>
    <mergeCell ref="B7:D7"/>
    <mergeCell ref="D31:I31"/>
    <mergeCell ref="B12:D12"/>
    <mergeCell ref="F12:G12"/>
    <mergeCell ref="D25:I25"/>
    <mergeCell ref="D26:I26"/>
    <mergeCell ref="D27:I27"/>
    <mergeCell ref="D28:I28"/>
    <mergeCell ref="B50:M50"/>
    <mergeCell ref="B49:M49"/>
    <mergeCell ref="D29:I29"/>
    <mergeCell ref="D30:I30"/>
    <mergeCell ref="I15:M15"/>
    <mergeCell ref="F15:G15"/>
    <mergeCell ref="B15:D15"/>
    <mergeCell ref="D24:I24"/>
    <mergeCell ref="D34:I34"/>
    <mergeCell ref="D35:I35"/>
    <mergeCell ref="D36:I36"/>
    <mergeCell ref="D32:I32"/>
    <mergeCell ref="D33:I33"/>
  </mergeCells>
  <conditionalFormatting sqref="B4">
    <cfRule type="expression" dxfId="28" priority="34">
      <formula>(NomeVendedor="")*bNomeVendedor</formula>
    </cfRule>
  </conditionalFormatting>
  <conditionalFormatting sqref="G4">
    <cfRule type="expression" dxfId="27" priority="29">
      <formula>(NomeComprador="")*bNomeComprador</formula>
    </cfRule>
  </conditionalFormatting>
  <conditionalFormatting sqref="F12:G12">
    <cfRule type="expression" dxfId="26" priority="24">
      <formula>(fatNúmNotaEncomenda="")*bNúmeroNotaEncomenda</formula>
    </cfRule>
  </conditionalFormatting>
  <conditionalFormatting sqref="B12:D12">
    <cfRule type="expression" dxfId="25" priority="23">
      <formula>(fatVendedor="")*bVendedor</formula>
    </cfRule>
  </conditionalFormatting>
  <conditionalFormatting sqref="M12">
    <cfRule type="expression" dxfId="24" priority="22">
      <formula>(fatEnviadoPor="")*bEnviadoPor</formula>
    </cfRule>
  </conditionalFormatting>
  <conditionalFormatting sqref="B15:D15">
    <cfRule type="expression" dxfId="23" priority="21">
      <formula>(fatTermos="")*bTermos</formula>
    </cfRule>
  </conditionalFormatting>
  <conditionalFormatting sqref="F15:G15">
    <cfRule type="expression" dxfId="22" priority="20">
      <formula>(fatFOBIncoterm="")*bFOBIncoterm</formula>
    </cfRule>
  </conditionalFormatting>
  <conditionalFormatting sqref="K12">
    <cfRule type="expression" dxfId="21" priority="19">
      <formula>(fatNúmPacotes="")*bNúmPacotes</formula>
    </cfRule>
  </conditionalFormatting>
  <conditionalFormatting sqref="B5">
    <cfRule type="expression" dxfId="20" priority="10">
      <formula>(EndereçoVendedor="")*bEndereçoVendedor</formula>
    </cfRule>
  </conditionalFormatting>
  <conditionalFormatting sqref="B6">
    <cfRule type="expression" dxfId="19" priority="8">
      <formula>(EndereçoLocalidadeCódigoPostalVendedor="")*bCidadeVendedor</formula>
    </cfRule>
  </conditionalFormatting>
  <conditionalFormatting sqref="B7">
    <cfRule type="expression" dxfId="18" priority="7">
      <formula>(TelefoneVendedor="")*bTelefoneVendedor</formula>
    </cfRule>
  </conditionalFormatting>
  <conditionalFormatting sqref="B8">
    <cfRule type="expression" dxfId="17" priority="6">
      <formula>(FaxVendedor="")*bFaxVendedor</formula>
    </cfRule>
  </conditionalFormatting>
  <conditionalFormatting sqref="G5">
    <cfRule type="expression" dxfId="16" priority="5">
      <formula>(EndereçoComprador="")*bEndereçoComprador</formula>
    </cfRule>
  </conditionalFormatting>
  <conditionalFormatting sqref="G6">
    <cfRule type="expression" dxfId="15" priority="4">
      <formula>(EndereçoLocalidadeCódigoPostalComprador="")*bCidadeComprador</formula>
    </cfRule>
  </conditionalFormatting>
  <conditionalFormatting sqref="G7:G8">
    <cfRule type="expression" dxfId="14" priority="3">
      <formula>(TelefoneComprador="")*bTelefoneComprador</formula>
    </cfRule>
  </conditionalFormatting>
  <conditionalFormatting sqref="I12">
    <cfRule type="expression" dxfId="12" priority="1">
      <formula>$I$12=""</formula>
    </cfRule>
  </conditionalFormatting>
  <printOptions horizontalCentered="1"/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  <pageSetUpPr autoPageBreaks="0"/>
  </sheetPr>
  <dimension ref="A2:G21"/>
  <sheetViews>
    <sheetView showGridLines="0" topLeftCell="B1" zoomScaleNormal="100" workbookViewId="0">
      <selection activeCell="H29" sqref="H29"/>
    </sheetView>
  </sheetViews>
  <sheetFormatPr defaultRowHeight="12.75" x14ac:dyDescent="0.2"/>
  <cols>
    <col min="1" max="1" width="17.7109375" bestFit="1" customWidth="1"/>
    <col min="2" max="2" width="27" bestFit="1" customWidth="1"/>
    <col min="3" max="3" width="3.85546875" customWidth="1"/>
    <col min="4" max="4" width="21.140625" bestFit="1" customWidth="1"/>
    <col min="5" max="5" width="3.85546875" customWidth="1"/>
    <col min="6" max="6" width="59.140625" bestFit="1" customWidth="1"/>
    <col min="7" max="7" width="25.42578125" bestFit="1" customWidth="1"/>
  </cols>
  <sheetData>
    <row r="2" spans="1:7" x14ac:dyDescent="0.2">
      <c r="A2" s="47" t="s">
        <v>39</v>
      </c>
      <c r="B2" s="47"/>
      <c r="C2" s="47"/>
      <c r="D2" s="47"/>
      <c r="E2" s="47"/>
      <c r="F2" s="47"/>
      <c r="G2" s="47"/>
    </row>
    <row r="3" spans="1:7" x14ac:dyDescent="0.2">
      <c r="A3" s="1"/>
      <c r="B3" s="1"/>
    </row>
    <row r="5" spans="1:7" ht="15.75" x14ac:dyDescent="0.25">
      <c r="A5" s="9" t="s">
        <v>46</v>
      </c>
      <c r="B5" s="9" t="s">
        <v>51</v>
      </c>
      <c r="D5" s="9" t="s">
        <v>52</v>
      </c>
      <c r="F5" s="9" t="s">
        <v>53</v>
      </c>
      <c r="G5" s="9" t="s">
        <v>54</v>
      </c>
    </row>
    <row r="6" spans="1:7" s="11" customFormat="1" x14ac:dyDescent="0.2">
      <c r="A6" s="11" t="s">
        <v>0</v>
      </c>
      <c r="B6" s="11" t="s">
        <v>14</v>
      </c>
      <c r="D6" s="11" t="s">
        <v>11</v>
      </c>
      <c r="F6" s="11" t="s">
        <v>21</v>
      </c>
      <c r="G6" s="12" t="s">
        <v>37</v>
      </c>
    </row>
    <row r="7" spans="1:7" s="11" customFormat="1" x14ac:dyDescent="0.2">
      <c r="A7" s="11" t="s">
        <v>1</v>
      </c>
      <c r="B7" s="11" t="s">
        <v>15</v>
      </c>
      <c r="D7" s="11" t="s">
        <v>12</v>
      </c>
      <c r="F7" s="11" t="s">
        <v>22</v>
      </c>
      <c r="G7" s="12" t="s">
        <v>37</v>
      </c>
    </row>
    <row r="8" spans="1:7" s="11" customFormat="1" x14ac:dyDescent="0.2">
      <c r="A8" s="11" t="s">
        <v>2</v>
      </c>
      <c r="B8" s="11" t="s">
        <v>16</v>
      </c>
      <c r="D8" s="11" t="s">
        <v>13</v>
      </c>
      <c r="F8" s="11" t="s">
        <v>23</v>
      </c>
      <c r="G8" s="12" t="s">
        <v>37</v>
      </c>
    </row>
    <row r="9" spans="1:7" s="11" customFormat="1" x14ac:dyDescent="0.2">
      <c r="A9" s="11" t="s">
        <v>4</v>
      </c>
      <c r="B9" s="11" t="s">
        <v>17</v>
      </c>
      <c r="D9" s="11" t="s">
        <v>3</v>
      </c>
      <c r="F9" s="11" t="s">
        <v>24</v>
      </c>
      <c r="G9" s="12" t="s">
        <v>37</v>
      </c>
    </row>
    <row r="10" spans="1:7" s="11" customFormat="1" x14ac:dyDescent="0.2">
      <c r="A10" s="11" t="s">
        <v>7</v>
      </c>
      <c r="B10" s="11" t="s">
        <v>7</v>
      </c>
      <c r="F10" s="11" t="s">
        <v>25</v>
      </c>
      <c r="G10" s="12" t="s">
        <v>38</v>
      </c>
    </row>
    <row r="11" spans="1:7" s="11" customFormat="1" x14ac:dyDescent="0.2">
      <c r="A11" s="11" t="s">
        <v>9</v>
      </c>
      <c r="B11" s="11" t="s">
        <v>8</v>
      </c>
      <c r="F11" s="11" t="s">
        <v>26</v>
      </c>
      <c r="G11" s="12" t="s">
        <v>37</v>
      </c>
    </row>
    <row r="12" spans="1:7" s="11" customFormat="1" x14ac:dyDescent="0.2">
      <c r="A12" s="11" t="s">
        <v>10</v>
      </c>
      <c r="B12" s="11" t="s">
        <v>8</v>
      </c>
      <c r="F12" s="11" t="s">
        <v>27</v>
      </c>
      <c r="G12" s="12" t="s">
        <v>37</v>
      </c>
    </row>
    <row r="13" spans="1:7" s="11" customFormat="1" x14ac:dyDescent="0.2">
      <c r="F13" s="11" t="s">
        <v>28</v>
      </c>
      <c r="G13" s="12" t="s">
        <v>37</v>
      </c>
    </row>
    <row r="14" spans="1:7" s="11" customFormat="1" x14ac:dyDescent="0.2">
      <c r="F14" s="11" t="s">
        <v>29</v>
      </c>
      <c r="G14" s="12" t="s">
        <v>37</v>
      </c>
    </row>
    <row r="15" spans="1:7" s="11" customFormat="1" x14ac:dyDescent="0.2">
      <c r="F15" s="11" t="s">
        <v>30</v>
      </c>
      <c r="G15" s="12" t="s">
        <v>38</v>
      </c>
    </row>
    <row r="16" spans="1:7" s="11" customFormat="1" x14ac:dyDescent="0.2">
      <c r="F16" s="11" t="s">
        <v>31</v>
      </c>
      <c r="G16" s="12" t="s">
        <v>37</v>
      </c>
    </row>
    <row r="17" spans="6:7" s="11" customFormat="1" x14ac:dyDescent="0.2">
      <c r="F17" s="11" t="s">
        <v>32</v>
      </c>
      <c r="G17" s="12" t="s">
        <v>37</v>
      </c>
    </row>
    <row r="18" spans="6:7" s="11" customFormat="1" x14ac:dyDescent="0.2">
      <c r="F18" s="11" t="s">
        <v>33</v>
      </c>
      <c r="G18" s="12" t="s">
        <v>38</v>
      </c>
    </row>
    <row r="19" spans="6:7" s="11" customFormat="1" x14ac:dyDescent="0.2">
      <c r="F19" s="11" t="s">
        <v>34</v>
      </c>
      <c r="G19" s="12" t="s">
        <v>38</v>
      </c>
    </row>
    <row r="20" spans="6:7" s="11" customFormat="1" x14ac:dyDescent="0.2">
      <c r="F20" s="11" t="s">
        <v>35</v>
      </c>
      <c r="G20" s="12" t="s">
        <v>38</v>
      </c>
    </row>
    <row r="21" spans="6:7" s="11" customFormat="1" x14ac:dyDescent="0.2">
      <c r="F21" s="11" t="s">
        <v>36</v>
      </c>
      <c r="G21" s="12" t="s">
        <v>37</v>
      </c>
    </row>
  </sheetData>
  <mergeCells count="1">
    <mergeCell ref="A2:G2"/>
  </mergeCells>
  <dataValidations count="1">
    <dataValidation type="list" allowBlank="1" showErrorMessage="1" errorTitle="ATIVADO/DESATIVADO" error="Selecione ATIVADO ou DESATIVADO" sqref="G6:G21">
      <formula1>"ATIVAR,DESATIVAR"</formula1>
    </dataValidation>
  </dataValidations>
  <pageMargins left="0.7" right="0.7" top="0.75" bottom="0.75" header="0.3" footer="0.3"/>
  <pageSetup paperSize="9" orientation="landscape" r:id="rId1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8289c1ac-6532-4c62-99f0-6d047703163c" xsi:nil="true"/>
    <AssetExpire xmlns="8289c1ac-6532-4c62-99f0-6d047703163c">2029-01-01T08:00:00+00:00</AssetExpire>
    <CampaignTagsTaxHTField0 xmlns="8289c1ac-6532-4c62-99f0-6d047703163c">
      <Terms xmlns="http://schemas.microsoft.com/office/infopath/2007/PartnerControls"/>
    </CampaignTagsTaxHTField0>
    <IntlLangReviewDate xmlns="8289c1ac-6532-4c62-99f0-6d047703163c" xsi:nil="true"/>
    <TPFriendlyName xmlns="8289c1ac-6532-4c62-99f0-6d047703163c" xsi:nil="true"/>
    <IntlLangReview xmlns="8289c1ac-6532-4c62-99f0-6d047703163c">false</IntlLangReview>
    <LocLastLocAttemptVersionLookup xmlns="8289c1ac-6532-4c62-99f0-6d047703163c">848664</LocLastLocAttemptVersionLookup>
    <PolicheckWords xmlns="8289c1ac-6532-4c62-99f0-6d047703163c" xsi:nil="true"/>
    <SubmitterId xmlns="8289c1ac-6532-4c62-99f0-6d047703163c" xsi:nil="true"/>
    <AcquiredFrom xmlns="8289c1ac-6532-4c62-99f0-6d047703163c">Internal MS</AcquiredFrom>
    <EditorialStatus xmlns="8289c1ac-6532-4c62-99f0-6d047703163c">Complete</EditorialStatus>
    <Markets xmlns="8289c1ac-6532-4c62-99f0-6d047703163c"/>
    <OriginAsset xmlns="8289c1ac-6532-4c62-99f0-6d047703163c" xsi:nil="true"/>
    <AssetStart xmlns="8289c1ac-6532-4c62-99f0-6d047703163c">2012-07-27T02:39:00+00:00</AssetStart>
    <FriendlyTitle xmlns="8289c1ac-6532-4c62-99f0-6d047703163c" xsi:nil="true"/>
    <MarketSpecific xmlns="8289c1ac-6532-4c62-99f0-6d047703163c">false</MarketSpecific>
    <TPNamespace xmlns="8289c1ac-6532-4c62-99f0-6d047703163c" xsi:nil="true"/>
    <PublishStatusLookup xmlns="8289c1ac-6532-4c62-99f0-6d047703163c">
      <Value>332603</Value>
    </PublishStatusLookup>
    <APAuthor xmlns="8289c1ac-6532-4c62-99f0-6d047703163c">
      <UserInfo>
        <DisplayName>REDMOND\v-sa</DisplayName>
        <AccountId>2467</AccountId>
        <AccountType/>
      </UserInfo>
    </APAuthor>
    <TPCommandLine xmlns="8289c1ac-6532-4c62-99f0-6d047703163c" xsi:nil="true"/>
    <IntlLangReviewer xmlns="8289c1ac-6532-4c62-99f0-6d047703163c" xsi:nil="true"/>
    <OpenTemplate xmlns="8289c1ac-6532-4c62-99f0-6d047703163c">true</OpenTemplate>
    <CSXSubmissionDate xmlns="8289c1ac-6532-4c62-99f0-6d047703163c" xsi:nil="true"/>
    <TaxCatchAll xmlns="8289c1ac-6532-4c62-99f0-6d047703163c"/>
    <Manager xmlns="8289c1ac-6532-4c62-99f0-6d047703163c" xsi:nil="true"/>
    <NumericId xmlns="8289c1ac-6532-4c62-99f0-6d047703163c" xsi:nil="true"/>
    <ParentAssetId xmlns="8289c1ac-6532-4c62-99f0-6d047703163c" xsi:nil="true"/>
    <OriginalSourceMarket xmlns="8289c1ac-6532-4c62-99f0-6d047703163c">english</OriginalSourceMarket>
    <ApprovalStatus xmlns="8289c1ac-6532-4c62-99f0-6d047703163c">InProgress</ApprovalStatus>
    <TPComponent xmlns="8289c1ac-6532-4c62-99f0-6d047703163c" xsi:nil="true"/>
    <EditorialTags xmlns="8289c1ac-6532-4c62-99f0-6d047703163c" xsi:nil="true"/>
    <TPExecutable xmlns="8289c1ac-6532-4c62-99f0-6d047703163c" xsi:nil="true"/>
    <TPLaunchHelpLink xmlns="8289c1ac-6532-4c62-99f0-6d047703163c" xsi:nil="true"/>
    <LocComments xmlns="8289c1ac-6532-4c62-99f0-6d047703163c" xsi:nil="true"/>
    <LocRecommendedHandoff xmlns="8289c1ac-6532-4c62-99f0-6d047703163c" xsi:nil="true"/>
    <SourceTitle xmlns="8289c1ac-6532-4c62-99f0-6d047703163c" xsi:nil="true"/>
    <CSXUpdate xmlns="8289c1ac-6532-4c62-99f0-6d047703163c">false</CSXUpdate>
    <IntlLocPriority xmlns="8289c1ac-6532-4c62-99f0-6d047703163c" xsi:nil="true"/>
    <UAProjectedTotalWords xmlns="8289c1ac-6532-4c62-99f0-6d047703163c" xsi:nil="true"/>
    <AssetType xmlns="8289c1ac-6532-4c62-99f0-6d047703163c">TP</AssetType>
    <MachineTranslated xmlns="8289c1ac-6532-4c62-99f0-6d047703163c">false</MachineTranslated>
    <OutputCachingOn xmlns="8289c1ac-6532-4c62-99f0-6d047703163c">false</OutputCachingOn>
    <TemplateStatus xmlns="8289c1ac-6532-4c62-99f0-6d047703163c">Complete</TemplateStatus>
    <IsSearchable xmlns="8289c1ac-6532-4c62-99f0-6d047703163c">true</IsSearchable>
    <ContentItem xmlns="8289c1ac-6532-4c62-99f0-6d047703163c" xsi:nil="true"/>
    <HandoffToMSDN xmlns="8289c1ac-6532-4c62-99f0-6d047703163c" xsi:nil="true"/>
    <ShowIn xmlns="8289c1ac-6532-4c62-99f0-6d047703163c">Show everywhere</ShowIn>
    <ThumbnailAssetId xmlns="8289c1ac-6532-4c62-99f0-6d047703163c" xsi:nil="true"/>
    <UALocComments xmlns="8289c1ac-6532-4c62-99f0-6d047703163c" xsi:nil="true"/>
    <UALocRecommendation xmlns="8289c1ac-6532-4c62-99f0-6d047703163c">Localize</UALocRecommendation>
    <LastModifiedDateTime xmlns="8289c1ac-6532-4c62-99f0-6d047703163c" xsi:nil="true"/>
    <LegacyData xmlns="8289c1ac-6532-4c62-99f0-6d047703163c" xsi:nil="true"/>
    <LocManualTestRequired xmlns="8289c1ac-6532-4c62-99f0-6d047703163c">false</LocManualTestRequired>
    <LocMarketGroupTiers2 xmlns="8289c1ac-6532-4c62-99f0-6d047703163c" xsi:nil="true"/>
    <ClipArtFilename xmlns="8289c1ac-6532-4c62-99f0-6d047703163c" xsi:nil="true"/>
    <TPApplication xmlns="8289c1ac-6532-4c62-99f0-6d047703163c" xsi:nil="true"/>
    <CSXHash xmlns="8289c1ac-6532-4c62-99f0-6d047703163c" xsi:nil="true"/>
    <DirectSourceMarket xmlns="8289c1ac-6532-4c62-99f0-6d047703163c">english</DirectSourceMarket>
    <PrimaryImageGen xmlns="8289c1ac-6532-4c62-99f0-6d047703163c">true</PrimaryImageGen>
    <PlannedPubDate xmlns="8289c1ac-6532-4c62-99f0-6d047703163c" xsi:nil="true"/>
    <CSXSubmissionMarket xmlns="8289c1ac-6532-4c62-99f0-6d047703163c" xsi:nil="true"/>
    <Downloads xmlns="8289c1ac-6532-4c62-99f0-6d047703163c">0</Downloads>
    <ArtSampleDocs xmlns="8289c1ac-6532-4c62-99f0-6d047703163c" xsi:nil="true"/>
    <TrustLevel xmlns="8289c1ac-6532-4c62-99f0-6d047703163c">1 Microsoft Managed Content</TrustLevel>
    <BlockPublish xmlns="8289c1ac-6532-4c62-99f0-6d047703163c">false</BlockPublish>
    <TPLaunchHelpLinkType xmlns="8289c1ac-6532-4c62-99f0-6d047703163c">Template</TPLaunchHelpLinkType>
    <LocalizationTagsTaxHTField0 xmlns="8289c1ac-6532-4c62-99f0-6d047703163c">
      <Terms xmlns="http://schemas.microsoft.com/office/infopath/2007/PartnerControls"/>
    </LocalizationTagsTaxHTField0>
    <BusinessGroup xmlns="8289c1ac-6532-4c62-99f0-6d047703163c" xsi:nil="true"/>
    <Providers xmlns="8289c1ac-6532-4c62-99f0-6d047703163c" xsi:nil="true"/>
    <TemplateTemplateType xmlns="8289c1ac-6532-4c62-99f0-6d047703163c">Excel 2007 Default</TemplateTemplateType>
    <TimesCloned xmlns="8289c1ac-6532-4c62-99f0-6d047703163c" xsi:nil="true"/>
    <TPAppVersion xmlns="8289c1ac-6532-4c62-99f0-6d047703163c" xsi:nil="true"/>
    <VoteCount xmlns="8289c1ac-6532-4c62-99f0-6d047703163c" xsi:nil="true"/>
    <FeatureTagsTaxHTField0 xmlns="8289c1ac-6532-4c62-99f0-6d047703163c">
      <Terms xmlns="http://schemas.microsoft.com/office/infopath/2007/PartnerControls"/>
    </FeatureTagsTaxHTField0>
    <Provider xmlns="8289c1ac-6532-4c62-99f0-6d047703163c" xsi:nil="true"/>
    <UACurrentWords xmlns="8289c1ac-6532-4c62-99f0-6d047703163c" xsi:nil="true"/>
    <AssetId xmlns="8289c1ac-6532-4c62-99f0-6d047703163c">TP103107638</AssetId>
    <TPClientViewer xmlns="8289c1ac-6532-4c62-99f0-6d047703163c" xsi:nil="true"/>
    <DSATActionTaken xmlns="8289c1ac-6532-4c62-99f0-6d047703163c" xsi:nil="true"/>
    <APEditor xmlns="8289c1ac-6532-4c62-99f0-6d047703163c">
      <UserInfo>
        <DisplayName/>
        <AccountId xsi:nil="true"/>
        <AccountType/>
      </UserInfo>
    </APEditor>
    <TPInstallLocation xmlns="8289c1ac-6532-4c62-99f0-6d047703163c" xsi:nil="true"/>
    <OOCacheId xmlns="8289c1ac-6532-4c62-99f0-6d047703163c" xsi:nil="true"/>
    <IsDeleted xmlns="8289c1ac-6532-4c62-99f0-6d047703163c">false</IsDeleted>
    <PublishTargets xmlns="8289c1ac-6532-4c62-99f0-6d047703163c">OfficeOnlineVNext</PublishTargets>
    <ApprovalLog xmlns="8289c1ac-6532-4c62-99f0-6d047703163c" xsi:nil="true"/>
    <BugNumber xmlns="8289c1ac-6532-4c62-99f0-6d047703163c" xsi:nil="true"/>
    <CrawlForDependencies xmlns="8289c1ac-6532-4c62-99f0-6d047703163c">false</CrawlForDependencies>
    <InternalTagsTaxHTField0 xmlns="8289c1ac-6532-4c62-99f0-6d047703163c">
      <Terms xmlns="http://schemas.microsoft.com/office/infopath/2007/PartnerControls"/>
    </InternalTagsTaxHTField0>
    <LastHandOff xmlns="8289c1ac-6532-4c62-99f0-6d047703163c" xsi:nil="true"/>
    <Milestone xmlns="8289c1ac-6532-4c62-99f0-6d047703163c" xsi:nil="true"/>
    <OriginalRelease xmlns="8289c1ac-6532-4c62-99f0-6d047703163c">15</OriginalRelease>
    <RecommendationsModifier xmlns="8289c1ac-6532-4c62-99f0-6d047703163c" xsi:nil="true"/>
    <ScenarioTagsTaxHTField0 xmlns="8289c1ac-6532-4c62-99f0-6d047703163c">
      <Terms xmlns="http://schemas.microsoft.com/office/infopath/2007/PartnerControls"/>
    </ScenarioTagsTaxHTField0>
    <UANotes xmlns="8289c1ac-6532-4c62-99f0-6d047703163c" xsi:nil="true"/>
  </documentManagement>
</p:properties>
</file>

<file path=customXml/item2.xml><?xml version="1.0" encoding="utf-8"?>
<?mso-contentType encoding="utf-8"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5EB5FCBB1E5ECD4D83FA6E62BA4F98FF04003B76559807ED7042AFCC9CD6E0E16B7A" ma:contentTypeVersion="56" ma:contentTypeDescription="Create a new document." ma:contentTypeScope="" ma:versionID="1bb8166288bc6583df760821a8465e9a">
  <xsd:schema xmlns:xsd="http://www.w3.org/2001/XMLSchema" xmlns:xs="http://www.w3.org/2001/XMLSchema" xmlns:p="http://schemas.microsoft.com/office/2006/metadata/properties" xmlns:ns2="8289c1ac-6532-4c62-99f0-6d047703163c" targetNamespace="http://schemas.microsoft.com/office/2006/metadata/properties" ma:root="true" ma:fieldsID="72dad6d391a7c203314e0cd163637bed" ns2:_="">
    <xsd:import namespace="8289c1ac-6532-4c62-99f0-6d047703163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9c1ac-6532-4c62-99f0-6d047703163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bdf52740-a1d7-4610-92ff-f21b5e9dc0f6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96D3B97A-7091-4962-A628-1341EA054D1C}" ma:internalName="CSXSubmissionMarket" ma:readOnly="false" ma:showField="MarketName" ma:web="8289c1ac-6532-4c62-99f0-6d047703163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b1724e4d-c2fd-4cce-a4dc-25a6fb8b18d0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A3699821-3E8B-4D34-8D50-9149D36CA131}" ma:internalName="InProjectListLookup" ma:readOnly="true" ma:showField="InProjectList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cedb78af-5ed4-499f-9639-632dc4fda4cc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A3699821-3E8B-4D34-8D50-9149D36CA131}" ma:internalName="LastCompleteVersionLookup" ma:readOnly="true" ma:showField="LastCompleteVersion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A3699821-3E8B-4D34-8D50-9149D36CA131}" ma:internalName="LastPreviewErrorLookup" ma:readOnly="true" ma:showField="LastPreviewError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A3699821-3E8B-4D34-8D50-9149D36CA131}" ma:internalName="LastPreviewResultLookup" ma:readOnly="true" ma:showField="LastPreviewResult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A3699821-3E8B-4D34-8D50-9149D36CA131}" ma:internalName="LastPreviewAttemptDateLookup" ma:readOnly="true" ma:showField="LastPreviewAttemptDate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A3699821-3E8B-4D34-8D50-9149D36CA131}" ma:internalName="LastPreviewedByLookup" ma:readOnly="true" ma:showField="LastPreviewedBy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A3699821-3E8B-4D34-8D50-9149D36CA131}" ma:internalName="LastPreviewTimeLookup" ma:readOnly="true" ma:showField="LastPreviewTime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A3699821-3E8B-4D34-8D50-9149D36CA131}" ma:internalName="LastPreviewVersionLookup" ma:readOnly="true" ma:showField="LastPreviewVersion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A3699821-3E8B-4D34-8D50-9149D36CA131}" ma:internalName="LastPublishErrorLookup" ma:readOnly="true" ma:showField="LastPublishError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A3699821-3E8B-4D34-8D50-9149D36CA131}" ma:internalName="LastPublishResultLookup" ma:readOnly="true" ma:showField="LastPublishResult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A3699821-3E8B-4D34-8D50-9149D36CA131}" ma:internalName="LastPublishAttemptDateLookup" ma:readOnly="true" ma:showField="LastPublishAttemptDate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A3699821-3E8B-4D34-8D50-9149D36CA131}" ma:internalName="LastPublishedByLookup" ma:readOnly="true" ma:showField="LastPublishedBy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A3699821-3E8B-4D34-8D50-9149D36CA131}" ma:internalName="LastPublishTimeLookup" ma:readOnly="true" ma:showField="LastPublishTime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A3699821-3E8B-4D34-8D50-9149D36CA131}" ma:internalName="LastPublishVersionLookup" ma:readOnly="true" ma:showField="LastPublishVersion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2B51FE6-7DF0-4C74-A55C-454F0900EEA3}" ma:internalName="LocLastLocAttemptVersionLookup" ma:readOnly="false" ma:showField="LastLocAttemptVersion" ma:web="8289c1ac-6532-4c62-99f0-6d047703163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2B51FE6-7DF0-4C74-A55C-454F0900EEA3}" ma:internalName="LocLastLocAttemptVersionTypeLookup" ma:readOnly="true" ma:showField="LastLocAttemptVersionType" ma:web="8289c1ac-6532-4c62-99f0-6d047703163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2B51FE6-7DF0-4C74-A55C-454F0900EEA3}" ma:internalName="LocNewPublishedVersionLookup" ma:readOnly="true" ma:showField="NewPublishedVersion" ma:web="8289c1ac-6532-4c62-99f0-6d047703163c">
      <xsd:simpleType>
        <xsd:restriction base="dms:Lookup"/>
      </xsd:simpleType>
    </xsd:element>
    <xsd:element name="LocOverallHandbackStatusLookup" ma:index="75" nillable="true" ma:displayName="Loc Overall Handback Status" ma:default="" ma:list="{D2B51FE6-7DF0-4C74-A55C-454F0900EEA3}" ma:internalName="LocOverallHandbackStatusLookup" ma:readOnly="true" ma:showField="OverallHandbackStatus" ma:web="8289c1ac-6532-4c62-99f0-6d047703163c">
      <xsd:simpleType>
        <xsd:restriction base="dms:Lookup"/>
      </xsd:simpleType>
    </xsd:element>
    <xsd:element name="LocOverallLocStatusLookup" ma:index="76" nillable="true" ma:displayName="Loc Overall Localize Status" ma:default="" ma:list="{D2B51FE6-7DF0-4C74-A55C-454F0900EEA3}" ma:internalName="LocOverallLocStatusLookup" ma:readOnly="true" ma:showField="OverallLocStatus" ma:web="8289c1ac-6532-4c62-99f0-6d047703163c">
      <xsd:simpleType>
        <xsd:restriction base="dms:Lookup"/>
      </xsd:simpleType>
    </xsd:element>
    <xsd:element name="LocOverallPreviewStatusLookup" ma:index="77" nillable="true" ma:displayName="Loc Overall Preview Status" ma:default="" ma:list="{D2B51FE6-7DF0-4C74-A55C-454F0900EEA3}" ma:internalName="LocOverallPreviewStatusLookup" ma:readOnly="true" ma:showField="OverallPreviewStatus" ma:web="8289c1ac-6532-4c62-99f0-6d047703163c">
      <xsd:simpleType>
        <xsd:restriction base="dms:Lookup"/>
      </xsd:simpleType>
    </xsd:element>
    <xsd:element name="LocOverallPublishStatusLookup" ma:index="78" nillable="true" ma:displayName="Loc Overall Publish Status" ma:default="" ma:list="{D2B51FE6-7DF0-4C74-A55C-454F0900EEA3}" ma:internalName="LocOverallPublishStatusLookup" ma:readOnly="true" ma:showField="OverallPublishStatus" ma:web="8289c1ac-6532-4c62-99f0-6d047703163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2B51FE6-7DF0-4C74-A55C-454F0900EEA3}" ma:internalName="LocProcessedForHandoffsLookup" ma:readOnly="true" ma:showField="ProcessedForHandoffs" ma:web="8289c1ac-6532-4c62-99f0-6d047703163c">
      <xsd:simpleType>
        <xsd:restriction base="dms:Lookup"/>
      </xsd:simpleType>
    </xsd:element>
    <xsd:element name="LocProcessedForMarketsLookup" ma:index="81" nillable="true" ma:displayName="Loc Processed For Markets" ma:default="" ma:list="{D2B51FE6-7DF0-4C74-A55C-454F0900EEA3}" ma:internalName="LocProcessedForMarketsLookup" ma:readOnly="true" ma:showField="ProcessedForMarkets" ma:web="8289c1ac-6532-4c62-99f0-6d047703163c">
      <xsd:simpleType>
        <xsd:restriction base="dms:Lookup"/>
      </xsd:simpleType>
    </xsd:element>
    <xsd:element name="LocPublishedDependentAssetsLookup" ma:index="82" nillable="true" ma:displayName="Loc Published Dependent Assets" ma:default="" ma:list="{D2B51FE6-7DF0-4C74-A55C-454F0900EEA3}" ma:internalName="LocPublishedDependentAssetsLookup" ma:readOnly="true" ma:showField="PublishedDependentAssets" ma:web="8289c1ac-6532-4c62-99f0-6d047703163c">
      <xsd:simpleType>
        <xsd:restriction base="dms:Lookup"/>
      </xsd:simpleType>
    </xsd:element>
    <xsd:element name="LocPublishedLinkedAssetsLookup" ma:index="83" nillable="true" ma:displayName="Loc Published Linked Assets" ma:default="" ma:list="{D2B51FE6-7DF0-4C74-A55C-454F0900EEA3}" ma:internalName="LocPublishedLinkedAssetsLookup" ma:readOnly="true" ma:showField="PublishedLinkedAssets" ma:web="8289c1ac-6532-4c62-99f0-6d047703163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bfba7468-1461-4c33-b276-c6b0f11e56ac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96D3B97A-7091-4962-A628-1341EA054D1C}" ma:internalName="Markets" ma:readOnly="false" ma:showField="MarketName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A3699821-3E8B-4D34-8D50-9149D36CA131}" ma:internalName="NumOfRatingsLookup" ma:readOnly="true" ma:showField="NumOfRatings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A3699821-3E8B-4D34-8D50-9149D36CA131}" ma:internalName="PublishStatusLookup" ma:readOnly="false" ma:showField="PublishStatus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7d04b479-8c6f-495c-aa6e-33bcaa9037bb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877ee78-c716-4f0a-ba73-cc9f8391e772}" ma:internalName="TaxCatchAll" ma:showField="CatchAllData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877ee78-c716-4f0a-ba73-cc9f8391e772}" ma:internalName="TaxCatchAllLabel" ma:readOnly="true" ma:showField="CatchAllDataLabel" ma:web="8289c1ac-6532-4c62-99f0-6d04770316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E0A537-2CE4-4F63-AAA6-BDE3C8E10941}"/>
</file>

<file path=customXml/itemProps2.xml><?xml version="1.0" encoding="utf-8"?>
<ds:datastoreItem xmlns:ds="http://schemas.openxmlformats.org/officeDocument/2006/customXml" ds:itemID="{E9AF64C7-C34D-4735-87E3-67F2A1E88198}"/>
</file>

<file path=customXml/itemProps3.xml><?xml version="1.0" encoding="utf-8"?>
<ds:datastoreItem xmlns:ds="http://schemas.openxmlformats.org/officeDocument/2006/customXml" ds:itemID="{B69DBD35-2CA4-45CA-BCC5-A5388C7B721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24</vt:i4>
      </vt:variant>
    </vt:vector>
  </HeadingPairs>
  <TitlesOfParts>
    <vt:vector size="26" baseType="lpstr">
      <vt:lpstr>Fatura</vt:lpstr>
      <vt:lpstr>Definições</vt:lpstr>
      <vt:lpstr>EndereçoComprador</vt:lpstr>
      <vt:lpstr>EndereçoLocalidadeCódigoPostalComprador</vt:lpstr>
      <vt:lpstr>EndereçoLocalidadeCódigoPostalVendedor</vt:lpstr>
      <vt:lpstr>EndereçoVendedor</vt:lpstr>
      <vt:lpstr>fatDesc</vt:lpstr>
      <vt:lpstr>fatEnviadoPor</vt:lpstr>
      <vt:lpstr>fatFOBIncoterm</vt:lpstr>
      <vt:lpstr>fatNúmNotaEncomenda</vt:lpstr>
      <vt:lpstr>fatNúmPacotes</vt:lpstr>
      <vt:lpstr>fatTermos</vt:lpstr>
      <vt:lpstr>fatVendedor</vt:lpstr>
      <vt:lpstr>FaxComprador</vt:lpstr>
      <vt:lpstr>FaxVendedor</vt:lpstr>
      <vt:lpstr>NomeComprador</vt:lpstr>
      <vt:lpstr>NomeVendedor</vt:lpstr>
      <vt:lpstr>outro</vt:lpstr>
      <vt:lpstr>Subtotal</vt:lpstr>
      <vt:lpstr>TaxaImposto</vt:lpstr>
      <vt:lpstr>TelefoneComprador</vt:lpstr>
      <vt:lpstr>TelefoneVendedor</vt:lpstr>
      <vt:lpstr>TermosDeEnvio</vt:lpstr>
      <vt:lpstr>TotalGeral</vt:lpstr>
      <vt:lpstr>TotalTaxas</vt:lpstr>
      <vt:lpstr>Transportadora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2012-07-26T18:28:25Z</dcterms:created>
  <dcterms:modified xsi:type="dcterms:W3CDTF">2012-09-25T05:49:09Z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0x0101005EB5FCBB1E5ECD4D83FA6E62BA4F98FF04003B76559807ED7042AFCC9CD6E0E16B7A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LocMarketGroupTiers">
    <vt:lpwstr/>
  </property>
  <property fmtid="{D5CDD505-2E9C-101B-9397-08002B2CF9AE}" pid="11" name="CategoryTagsTaxHTField0">
    <vt:lpwstr/>
  </property>
  <property fmtid="{D5CDD505-2E9C-101B-9397-08002B2CF9AE}" pid="12" name="HiddenCategoryTagsTaxHTField0">
    <vt:lpwstr/>
  </property>
</Properties>
</file>